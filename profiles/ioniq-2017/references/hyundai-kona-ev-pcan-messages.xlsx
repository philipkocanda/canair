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-CAN" sheetId="1" r:id="rId4"/>
  </sheets>
  <definedNames/>
  <calcPr/>
</workbook>
</file>

<file path=xl/sharedStrings.xml><?xml version="1.0" encoding="utf-8"?>
<sst xmlns="http://schemas.openxmlformats.org/spreadsheetml/2006/main" count="249" uniqueCount="207">
  <si>
    <t xml:space="preserve">Hyundai Kona EV (US) </t>
  </si>
  <si>
    <t>Known Data</t>
  </si>
  <si>
    <t>Unknown Data</t>
  </si>
  <si>
    <t>Fixed</t>
  </si>
  <si>
    <t>P-CAN Messages</t>
  </si>
  <si>
    <t>7-0</t>
  </si>
  <si>
    <t>15-8</t>
  </si>
  <si>
    <t>23-16</t>
  </si>
  <si>
    <t>31-24</t>
  </si>
  <si>
    <t>39-32</t>
  </si>
  <si>
    <t>47-40</t>
  </si>
  <si>
    <t>55-48</t>
  </si>
  <si>
    <t>63-56</t>
  </si>
  <si>
    <t>ID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</si>
  <si>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</si>
  <si>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</si>
  <si>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</si>
  <si>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</si>
  <si>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</si>
  <si>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</si>
  <si>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</si>
  <si>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</si>
  <si>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Notes</t>
  </si>
  <si>
    <t>0x109</t>
  </si>
  <si>
    <t>0x00</t>
  </si>
  <si>
    <t>0x01</t>
  </si>
  <si>
    <t>0xFD</t>
  </si>
  <si>
    <t>0xFF</t>
  </si>
  <si>
    <t>0x0F</t>
  </si>
  <si>
    <t>Unknown (6 bits)
erratic</t>
  </si>
  <si>
    <t>0x10C</t>
  </si>
  <si>
    <t>Unknown</t>
  </si>
  <si>
    <t>0x55</t>
  </si>
  <si>
    <t>0x54</t>
  </si>
  <si>
    <t>0x15</t>
  </si>
  <si>
    <t>0x40</t>
  </si>
  <si>
    <t>0x153</t>
  </si>
  <si>
    <t>Traction (LS nibble)
On 0000
Off 0100
MS nibble 0010</t>
  </si>
  <si>
    <t>0x80</t>
  </si>
  <si>
    <t>0x10</t>
  </si>
  <si>
    <t>Unknown (MS 4 bits)
erratic</t>
  </si>
  <si>
    <t>Traction (LS nibble)
On 0010
Off 1110
MS nibble erratic</t>
  </si>
  <si>
    <t>0x200</t>
  </si>
  <si>
    <t>Changes with climate
and drive mode</t>
  </si>
  <si>
    <t>Current Gear bits 5-3
P 000
D 101
N 110
R 111</t>
  </si>
  <si>
    <t>Accelerator 
Pedal Position
(8 bits)</t>
  </si>
  <si>
    <t>Unkown
bits 7 &amp; 6 vary
xx111011</t>
  </si>
  <si>
    <t>0xD0</t>
  </si>
  <si>
    <t>Accelerator &amp; Gear Postion
Required for VESS (gear only)</t>
  </si>
  <si>
    <t>0x201</t>
  </si>
  <si>
    <t xml:space="preserve">Bits 7&amp;6 flicker
(synced with 62&amp;63)
</t>
  </si>
  <si>
    <t>Regen resistance (?) more negative with
higher level of regen set (16-bit signed)</t>
  </si>
  <si>
    <t>Power (16 bits signed)</t>
  </si>
  <si>
    <t>Unknown (LS 6 bits)
erratic</t>
  </si>
  <si>
    <t>Unknown (6 bits)
erratic
Bits 62&amp;63 flicker</t>
  </si>
  <si>
    <t>Regen</t>
  </si>
  <si>
    <t>0x202</t>
  </si>
  <si>
    <t>Unknown Bits 5-6
erratic
0xx00010</t>
  </si>
  <si>
    <t>Power (12 bits signed)</t>
  </si>
  <si>
    <t>Regen Level bits 5&amp;4
Off 00
L1 01
L2 10
L3 11</t>
  </si>
  <si>
    <t>0x25</t>
  </si>
  <si>
    <t>Unknown Bits 61-62
erratic
0xx10111</t>
  </si>
  <si>
    <t>Power</t>
  </si>
  <si>
    <t>0x220</t>
  </si>
  <si>
    <t>Unknown
very little change</t>
  </si>
  <si>
    <t>Unknown (13 bits) very little change (batt?)</t>
  </si>
  <si>
    <t>0x291</t>
  </si>
  <si>
    <t>Speed (16 bits signed)</t>
  </si>
  <si>
    <t>0xFC</t>
  </si>
  <si>
    <t>0x0A</t>
  </si>
  <si>
    <t>Speed (high-res) &amp; Power</t>
  </si>
  <si>
    <t>0x2A2</t>
  </si>
  <si>
    <t>Bit 0 flickers
0000010x</t>
  </si>
  <si>
    <t>Brakes - Regen Contrib (10 bits)</t>
  </si>
  <si>
    <t>Brake Pedal Position (10 bits)</t>
  </si>
  <si>
    <t>Mechanical 
contribution?
(6 bits)</t>
  </si>
  <si>
    <t>Brakes</t>
  </si>
  <si>
    <t>Unkown - All 0s</t>
  </si>
  <si>
    <t>0x2B0</t>
  </si>
  <si>
    <t>Steering Angle (16 bits signed)</t>
  </si>
  <si>
    <t>Unknown
smooth drift up
and down</t>
  </si>
  <si>
    <t>0x07</t>
  </si>
  <si>
    <t>Unkown
erratic - constant
change</t>
  </si>
  <si>
    <t>Steering Angle</t>
  </si>
  <si>
    <t>0x331</t>
  </si>
  <si>
    <t>Braking - mech.
portion?</t>
  </si>
  <si>
    <t>|Speed| (10 bits)</t>
  </si>
  <si>
    <t>|Speed|</t>
  </si>
  <si>
    <t>0x354</t>
  </si>
  <si>
    <t>Gear Select (momentary selector output):
Normal AA 0A 55
P
D 6A 0A 95
N
R</t>
  </si>
  <si>
    <t>0x05</t>
  </si>
  <si>
    <t>Unknown (2 bits)
high when stopped?</t>
  </si>
  <si>
    <t>Unknown (8 bits)
erratic</t>
  </si>
  <si>
    <t>Gear Select</t>
  </si>
  <si>
    <t>0x386</t>
  </si>
  <si>
    <t>|Wheel Speeds|?  12-bit values, little-endian, bits 14-31, 30-41, 46-57, 62 wrap to 9 - unsigned - comparatively long interval between frames</t>
  </si>
  <si>
    <t>|Wheel Speeds|?</t>
  </si>
  <si>
    <t>0x387</t>
  </si>
  <si>
    <t>0x394</t>
  </si>
  <si>
    <t>0x414</t>
  </si>
  <si>
    <t>0x450</t>
  </si>
  <si>
    <t>[7] SET button
[6] RESUME button</t>
  </si>
  <si>
    <t>[1] CRUISE button
[0] CANCEL</t>
  </si>
  <si>
    <t>0x45B</t>
  </si>
  <si>
    <t xml:space="preserve">Climate and Drive Mode
</t>
  </si>
  <si>
    <t>Climate</t>
  </si>
  <si>
    <t>0x45C</t>
  </si>
  <si>
    <t>0x45D</t>
  </si>
  <si>
    <t>0x45E</t>
  </si>
  <si>
    <t>0x462</t>
  </si>
  <si>
    <t>0x471</t>
  </si>
  <si>
    <t>0x47C</t>
  </si>
  <si>
    <t>0x490</t>
  </si>
  <si>
    <t>0x491</t>
  </si>
  <si>
    <t>0x493</t>
  </si>
  <si>
    <t>0x498</t>
  </si>
  <si>
    <t>0x49E</t>
  </si>
  <si>
    <t>0x4DD</t>
  </si>
  <si>
    <t>0x4DE</t>
  </si>
  <si>
    <t>0x4E2</t>
  </si>
  <si>
    <t>0x4E4</t>
  </si>
  <si>
    <t>0x4EE</t>
  </si>
  <si>
    <t>0x4FE</t>
  </si>
  <si>
    <t>0x507</t>
  </si>
  <si>
    <t>0x50D</t>
  </si>
  <si>
    <t>0x520</t>
  </si>
  <si>
    <t>0x523</t>
  </si>
  <si>
    <t>0x524</t>
  </si>
  <si>
    <t>Slow fluctuation</t>
  </si>
  <si>
    <t>|Speed| (16 bit)</t>
  </si>
  <si>
    <t>Power? (12 bit signed, LE)</t>
  </si>
  <si>
    <t>Power? (16 bit signed, LE)</t>
  </si>
  <si>
    <t>Required for VESS</t>
  </si>
  <si>
    <t>0x529</t>
  </si>
  <si>
    <t>0x540</t>
  </si>
  <si>
    <t>0x541</t>
  </si>
  <si>
    <t>[7]
[6]
[5]
[4]
[3]
[2]
[1]
[0] left front door</t>
  </si>
  <si>
    <t>[7]
[6]
[5]
[4]
[3] left turn signal
[2]
[1]
[0]</t>
  </si>
  <si>
    <t>[7]
[6]
[5]
[4]
[3] right front door
[2]
[1]
[0]</t>
  </si>
  <si>
    <t>[7]
[6] right turn signal
[5]
[4]
[3]
[2]
[1]
[0]</t>
  </si>
  <si>
    <t>0x542</t>
  </si>
  <si>
    <t>0x549</t>
  </si>
  <si>
    <t>0x553</t>
  </si>
  <si>
    <t>Lock Status
All Locked 0x10
All Unlocked 0x1C</t>
  </si>
  <si>
    <t>Lock Command
(momentary)
Normal 0x80
Lock 0x88
Unlock 0x90</t>
  </si>
  <si>
    <t>0x55C</t>
  </si>
  <si>
    <t>0x55F</t>
  </si>
  <si>
    <t>0x561</t>
  </si>
  <si>
    <t>0x567</t>
  </si>
  <si>
    <t>System</t>
  </si>
  <si>
    <t>Minutes</t>
  </si>
  <si>
    <t>Seconds</t>
  </si>
  <si>
    <t>System Time</t>
  </si>
  <si>
    <t>0x570</t>
  </si>
  <si>
    <t>0x578</t>
  </si>
  <si>
    <t>[7] Drive Mode Button
(momentary)</t>
  </si>
  <si>
    <t>0x579</t>
  </si>
  <si>
    <t>0x57A</t>
  </si>
  <si>
    <t>0x57B</t>
  </si>
  <si>
    <t>0x57F</t>
  </si>
  <si>
    <t>0x581</t>
  </si>
  <si>
    <t>0x584</t>
  </si>
  <si>
    <t>0x587</t>
  </si>
  <si>
    <t>0x588</t>
  </si>
  <si>
    <t>0x58E</t>
  </si>
  <si>
    <t>0x58F</t>
  </si>
  <si>
    <t>0x590</t>
  </si>
  <si>
    <t>0x592</t>
  </si>
  <si>
    <t>0x593</t>
  </si>
  <si>
    <t>0x594</t>
  </si>
  <si>
    <t>0x595</t>
  </si>
  <si>
    <t>0x596</t>
  </si>
  <si>
    <t>0x597</t>
  </si>
  <si>
    <t>0x598</t>
  </si>
  <si>
    <t>0x599</t>
  </si>
  <si>
    <t>0x59C</t>
  </si>
  <si>
    <t>0x59E</t>
  </si>
  <si>
    <t>0x5A0</t>
  </si>
  <si>
    <t>0x5A3</t>
  </si>
  <si>
    <t>0x5B3</t>
  </si>
  <si>
    <t>0x5CA</t>
  </si>
  <si>
    <t>0x5CB</t>
  </si>
  <si>
    <t>0x5CC</t>
  </si>
  <si>
    <t>0x5D0</t>
  </si>
  <si>
    <t>0x5D3</t>
  </si>
  <si>
    <t>0x5D5</t>
  </si>
  <si>
    <t>0x5D6</t>
  </si>
  <si>
    <t>0x5D7</t>
  </si>
  <si>
    <t>0x5D8</t>
  </si>
  <si>
    <t>0x5D9</t>
  </si>
  <si>
    <t>0x5DC</t>
  </si>
  <si>
    <t>0x5DE</t>
  </si>
  <si>
    <t>0x5DF</t>
  </si>
  <si>
    <t>0x5E3</t>
  </si>
  <si>
    <t>VESS Heartbeat</t>
  </si>
  <si>
    <t>0x5E5</t>
  </si>
  <si>
    <t>0x5E6</t>
  </si>
  <si>
    <t>0x5E8</t>
  </si>
  <si>
    <t>0x5E9</t>
  </si>
  <si>
    <t>0x5EC</t>
  </si>
  <si>
    <t>Lock Command
(momentary)
Normal 00
Lock 08
Unlock 20</t>
  </si>
  <si>
    <t>0x5F5</t>
  </si>
  <si>
    <t>0x5F6</t>
  </si>
  <si>
    <t>0x5F7</t>
  </si>
  <si>
    <t>0x5F8</t>
  </si>
  <si>
    <t>0x5F9</t>
  </si>
  <si>
    <t>0x5FA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</si>
</sst>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8.0"/>
    </font>
    <font/>
    <font>
      <sz val="12.0"/>
    </font>
    <font>
      <b/>
      <name val="Arial"/>
    </font>
    <font>
      <name val="Arial"/>
    </font>
    <font>
      <b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2" fillId="5" fontId="4" numFmtId="0" xfId="0" applyAlignment="1" applyBorder="1" applyFill="1" applyFont="1">
      <alignment horizontal="left" shrinkToFit="0" vertical="bottom" wrapText="1"/>
    </xf>
    <xf borderId="3" fillId="5" fontId="5" numFmtId="0" xfId="0" applyAlignment="1" applyBorder="1" applyFont="1">
      <alignment vertical="bottom"/>
    </xf>
    <xf borderId="3" fillId="5" fontId="4" numFmtId="0" xfId="0" applyAlignment="1" applyBorder="1" applyFont="1">
      <alignment shrinkToFit="0" vertical="bottom" wrapText="1"/>
    </xf>
    <xf borderId="3" fillId="5" fontId="4" numFmtId="0" xfId="0" applyAlignment="1" applyBorder="1" applyFont="1">
      <alignment shrinkToFit="0" vertical="bottom" wrapText="1"/>
    </xf>
    <xf borderId="2" fillId="5" fontId="4" numFmtId="0" xfId="0" applyAlignment="1" applyBorder="1" applyFont="1">
      <alignment shrinkToFit="0" vertical="bottom" wrapText="1"/>
    </xf>
    <xf borderId="3" fillId="5" fontId="6" numFmtId="0" xfId="0" applyAlignment="1" applyBorder="1" applyFont="1">
      <alignment readingOrder="0"/>
    </xf>
    <xf borderId="0" fillId="5" fontId="2" numFmtId="0" xfId="0" applyFont="1"/>
    <xf borderId="4" fillId="5" fontId="2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6" fillId="0" fontId="2" numFmtId="0" xfId="0" applyBorder="1" applyFont="1"/>
    <xf borderId="5" fillId="3" fontId="2" numFmtId="0" xfId="0" applyAlignment="1" applyBorder="1" applyFont="1">
      <alignment readingOrder="0"/>
    </xf>
    <xf borderId="4" fillId="5" fontId="2" numFmtId="0" xfId="0" applyBorder="1" applyFont="1"/>
    <xf borderId="7" fillId="0" fontId="2" numFmtId="0" xfId="0" applyBorder="1" applyFont="1"/>
    <xf borderId="0" fillId="5" fontId="2" numFmtId="0" xfId="0" applyAlignment="1" applyFont="1">
      <alignment readingOrder="0"/>
    </xf>
    <xf borderId="6" fillId="2" fontId="2" numFmtId="0" xfId="0" applyBorder="1" applyFont="1"/>
    <xf borderId="4" fillId="5" fontId="6" numFmtId="0" xfId="0" applyAlignment="1" applyBorder="1" applyFont="1">
      <alignment readingOrder="0"/>
    </xf>
    <xf borderId="4" fillId="5" fontId="7" numFmtId="0" xfId="0" applyAlignment="1" applyBorder="1" applyFont="1">
      <alignment horizontal="left" readingOrder="0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0"/>
    <col customWidth="1" min="4" max="11" width="16.38"/>
    <col customWidth="1" min="12" max="12" width="33.88"/>
  </cols>
  <sheetData>
    <row r="2">
      <c r="B2" s="1" t="s">
        <v>0</v>
      </c>
      <c r="F2" s="2" t="s">
        <v>1</v>
      </c>
      <c r="G2" s="3" t="s">
        <v>2</v>
      </c>
      <c r="H2" s="4" t="s">
        <v>3</v>
      </c>
    </row>
    <row r="3">
      <c r="B3" s="5" t="s">
        <v>4</v>
      </c>
    </row>
    <row r="5">
      <c r="B5" s="6"/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>
      <c r="B6" s="8" t="s">
        <v>13</v>
      </c>
      <c r="C6" s="9"/>
      <c r="D6" s="10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1" t="s">
        <v>19</v>
      </c>
      <c r="J6" s="11" t="s">
        <v>20</v>
      </c>
      <c r="K6" s="12" t="s">
        <v>21</v>
      </c>
      <c r="L6" s="13" t="s">
        <v>22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B7" s="15" t="s">
        <v>23</v>
      </c>
      <c r="C7" s="14">
        <f t="shared" ref="C7:C108" si="1">hex2dec(B7)</f>
        <v>265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27</v>
      </c>
      <c r="I7" s="4" t="s">
        <v>27</v>
      </c>
      <c r="J7" s="4" t="s">
        <v>28</v>
      </c>
      <c r="K7" s="3" t="s">
        <v>29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B8" s="15" t="s">
        <v>30</v>
      </c>
      <c r="C8" s="14">
        <f t="shared" si="1"/>
        <v>268</v>
      </c>
      <c r="D8" s="3" t="s">
        <v>31</v>
      </c>
      <c r="E8" s="3" t="s">
        <v>31</v>
      </c>
      <c r="F8" s="4" t="s">
        <v>32</v>
      </c>
      <c r="G8" s="4" t="s">
        <v>33</v>
      </c>
      <c r="H8" s="4" t="s">
        <v>34</v>
      </c>
      <c r="I8" s="4" t="s">
        <v>35</v>
      </c>
      <c r="J8" s="4" t="s">
        <v>25</v>
      </c>
      <c r="K8" s="3" t="s">
        <v>29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B9" s="15" t="s">
        <v>36</v>
      </c>
      <c r="C9" s="14">
        <f t="shared" si="1"/>
        <v>339</v>
      </c>
      <c r="D9" s="2" t="s">
        <v>37</v>
      </c>
      <c r="E9" s="4" t="s">
        <v>38</v>
      </c>
      <c r="F9" s="4" t="s">
        <v>39</v>
      </c>
      <c r="G9" s="4" t="s">
        <v>27</v>
      </c>
      <c r="H9" s="4" t="s">
        <v>24</v>
      </c>
      <c r="I9" s="4" t="s">
        <v>27</v>
      </c>
      <c r="J9" s="3" t="s">
        <v>40</v>
      </c>
      <c r="K9" s="2" t="s">
        <v>41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B10" s="15" t="s">
        <v>42</v>
      </c>
      <c r="C10" s="14">
        <f t="shared" si="1"/>
        <v>512</v>
      </c>
      <c r="D10" s="3" t="s">
        <v>43</v>
      </c>
      <c r="E10" s="2" t="s">
        <v>44</v>
      </c>
      <c r="F10" s="3" t="s">
        <v>43</v>
      </c>
      <c r="G10" s="4" t="s">
        <v>39</v>
      </c>
      <c r="H10" s="2" t="s">
        <v>45</v>
      </c>
      <c r="I10" s="3" t="s">
        <v>46</v>
      </c>
      <c r="J10" s="4" t="s">
        <v>47</v>
      </c>
      <c r="K10" s="2" t="s">
        <v>45</v>
      </c>
      <c r="L10" s="16" t="s">
        <v>48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B11" s="15" t="s">
        <v>49</v>
      </c>
      <c r="C11" s="14">
        <f t="shared" si="1"/>
        <v>513</v>
      </c>
      <c r="D11" s="3" t="s">
        <v>50</v>
      </c>
      <c r="E11" s="17" t="s">
        <v>51</v>
      </c>
      <c r="F11" s="18"/>
      <c r="G11" s="17" t="s">
        <v>52</v>
      </c>
      <c r="H11" s="18"/>
      <c r="I11" s="4" t="s">
        <v>24</v>
      </c>
      <c r="J11" s="3" t="s">
        <v>53</v>
      </c>
      <c r="K11" s="3" t="s">
        <v>54</v>
      </c>
      <c r="L11" s="16" t="s">
        <v>55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B12" s="15" t="s">
        <v>56</v>
      </c>
      <c r="C12" s="14">
        <f t="shared" si="1"/>
        <v>514</v>
      </c>
      <c r="D12" s="3" t="s">
        <v>57</v>
      </c>
      <c r="E12" s="17" t="s">
        <v>58</v>
      </c>
      <c r="F12" s="18"/>
      <c r="G12" s="2" t="s">
        <v>59</v>
      </c>
      <c r="H12" s="17" t="s">
        <v>58</v>
      </c>
      <c r="I12" s="18"/>
      <c r="J12" s="4" t="s">
        <v>60</v>
      </c>
      <c r="K12" s="3" t="s">
        <v>61</v>
      </c>
      <c r="L12" s="16" t="s">
        <v>62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B13" s="15" t="s">
        <v>63</v>
      </c>
      <c r="C13" s="14">
        <f t="shared" si="1"/>
        <v>544</v>
      </c>
      <c r="D13" s="14"/>
      <c r="E13" s="14"/>
      <c r="F13" s="3" t="s">
        <v>64</v>
      </c>
      <c r="G13" s="14"/>
      <c r="H13" s="14"/>
      <c r="I13" s="19" t="s">
        <v>65</v>
      </c>
      <c r="J13" s="18"/>
      <c r="K13" s="2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B14" s="15" t="s">
        <v>66</v>
      </c>
      <c r="C14" s="14">
        <f t="shared" si="1"/>
        <v>657</v>
      </c>
      <c r="D14" s="17" t="s">
        <v>58</v>
      </c>
      <c r="E14" s="18"/>
      <c r="F14" s="17" t="s">
        <v>67</v>
      </c>
      <c r="G14" s="18"/>
      <c r="H14" s="4" t="s">
        <v>27</v>
      </c>
      <c r="I14" s="4" t="s">
        <v>68</v>
      </c>
      <c r="J14" s="4" t="s">
        <v>68</v>
      </c>
      <c r="K14" s="4" t="s">
        <v>69</v>
      </c>
      <c r="L14" s="16" t="s">
        <v>70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B15" s="15" t="s">
        <v>71</v>
      </c>
      <c r="C15" s="14">
        <f t="shared" si="1"/>
        <v>674</v>
      </c>
      <c r="D15" s="3" t="s">
        <v>72</v>
      </c>
      <c r="E15" s="17" t="s">
        <v>73</v>
      </c>
      <c r="F15" s="18"/>
      <c r="G15" s="17" t="s">
        <v>74</v>
      </c>
      <c r="H15" s="18"/>
      <c r="I15" s="4" t="s">
        <v>24</v>
      </c>
      <c r="J15" s="4" t="s">
        <v>24</v>
      </c>
      <c r="K15" s="3" t="s">
        <v>75</v>
      </c>
      <c r="L15" s="16" t="s">
        <v>76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B16" s="15" t="s">
        <v>71</v>
      </c>
      <c r="C16" s="14">
        <f t="shared" si="1"/>
        <v>674</v>
      </c>
      <c r="D16" s="19" t="s">
        <v>77</v>
      </c>
      <c r="E16" s="21"/>
      <c r="F16" s="21"/>
      <c r="G16" s="21"/>
      <c r="H16" s="21"/>
      <c r="I16" s="21"/>
      <c r="J16" s="21"/>
      <c r="K16" s="18"/>
      <c r="L16" s="22" t="s">
        <v>31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B17" s="15" t="s">
        <v>78</v>
      </c>
      <c r="C17" s="14">
        <f t="shared" si="1"/>
        <v>688</v>
      </c>
      <c r="D17" s="17" t="s">
        <v>79</v>
      </c>
      <c r="E17" s="23"/>
      <c r="F17" s="3" t="s">
        <v>80</v>
      </c>
      <c r="G17" s="4" t="s">
        <v>81</v>
      </c>
      <c r="H17" s="3" t="s">
        <v>82</v>
      </c>
      <c r="I17" s="4" t="s">
        <v>24</v>
      </c>
      <c r="J17" s="4" t="s">
        <v>24</v>
      </c>
      <c r="K17" s="4" t="s">
        <v>24</v>
      </c>
      <c r="L17" s="16" t="s">
        <v>83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B18" s="15" t="s">
        <v>84</v>
      </c>
      <c r="C18" s="14">
        <f t="shared" si="1"/>
        <v>817</v>
      </c>
      <c r="D18" s="3" t="s">
        <v>85</v>
      </c>
      <c r="E18" s="4" t="s">
        <v>24</v>
      </c>
      <c r="F18" s="17" t="s">
        <v>86</v>
      </c>
      <c r="G18" s="18"/>
      <c r="H18" s="17" t="s">
        <v>86</v>
      </c>
      <c r="I18" s="18"/>
      <c r="J18" s="4" t="s">
        <v>24</v>
      </c>
      <c r="K18" s="4" t="s">
        <v>24</v>
      </c>
      <c r="L18" s="16" t="s">
        <v>87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B19" s="15" t="s">
        <v>88</v>
      </c>
      <c r="C19" s="14">
        <f t="shared" si="1"/>
        <v>852</v>
      </c>
      <c r="D19" s="19" t="s">
        <v>89</v>
      </c>
      <c r="E19" s="21"/>
      <c r="F19" s="18"/>
      <c r="G19" s="4" t="s">
        <v>32</v>
      </c>
      <c r="H19" s="4" t="s">
        <v>90</v>
      </c>
      <c r="I19" s="4" t="s">
        <v>24</v>
      </c>
      <c r="J19" s="3" t="s">
        <v>91</v>
      </c>
      <c r="K19" s="3" t="s">
        <v>92</v>
      </c>
      <c r="L19" s="16" t="s">
        <v>93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B20" s="15" t="s">
        <v>94</v>
      </c>
      <c r="C20" s="14">
        <f t="shared" si="1"/>
        <v>902</v>
      </c>
      <c r="D20" s="19" t="s">
        <v>95</v>
      </c>
      <c r="E20" s="21"/>
      <c r="F20" s="21"/>
      <c r="G20" s="21"/>
      <c r="H20" s="21"/>
      <c r="I20" s="21"/>
      <c r="J20" s="21"/>
      <c r="K20" s="18"/>
      <c r="L20" s="24" t="s">
        <v>96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B21" s="15" t="s">
        <v>97</v>
      </c>
      <c r="C21" s="14">
        <f t="shared" si="1"/>
        <v>903</v>
      </c>
      <c r="D21" s="14"/>
      <c r="E21" s="14"/>
      <c r="F21" s="14"/>
      <c r="G21" s="14"/>
      <c r="H21" s="14"/>
      <c r="I21" s="14"/>
      <c r="J21" s="14"/>
      <c r="K21" s="20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B22" s="15" t="s">
        <v>98</v>
      </c>
      <c r="C22" s="14">
        <f t="shared" si="1"/>
        <v>916</v>
      </c>
      <c r="D22" s="14"/>
      <c r="E22" s="14"/>
      <c r="F22" s="14"/>
      <c r="G22" s="14"/>
      <c r="H22" s="14"/>
      <c r="I22" s="14"/>
      <c r="J22" s="14"/>
      <c r="K22" s="20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B23" s="15" t="s">
        <v>99</v>
      </c>
      <c r="C23" s="14">
        <f t="shared" si="1"/>
        <v>1044</v>
      </c>
      <c r="D23" s="14"/>
      <c r="E23" s="14"/>
      <c r="F23" s="14"/>
      <c r="G23" s="14"/>
      <c r="H23" s="14"/>
      <c r="I23" s="14"/>
      <c r="J23" s="14"/>
      <c r="K23" s="2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B24" s="15" t="s">
        <v>100</v>
      </c>
      <c r="C24" s="14">
        <f t="shared" si="1"/>
        <v>1104</v>
      </c>
      <c r="D24" s="14"/>
      <c r="E24" s="2" t="s">
        <v>101</v>
      </c>
      <c r="F24" s="2" t="s">
        <v>102</v>
      </c>
      <c r="G24" s="14"/>
      <c r="H24" s="14"/>
      <c r="I24" s="14"/>
      <c r="J24" s="14"/>
      <c r="K24" s="2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B25" s="15" t="s">
        <v>103</v>
      </c>
      <c r="C25" s="14">
        <f t="shared" si="1"/>
        <v>1115</v>
      </c>
      <c r="D25" s="19" t="s">
        <v>104</v>
      </c>
      <c r="E25" s="18"/>
      <c r="F25" s="14"/>
      <c r="G25" s="14"/>
      <c r="H25" s="14"/>
      <c r="I25" s="14"/>
      <c r="J25" s="14"/>
      <c r="K25" s="20"/>
      <c r="L25" s="22" t="s">
        <v>105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B26" s="15" t="s">
        <v>106</v>
      </c>
      <c r="C26" s="14">
        <f t="shared" si="1"/>
        <v>1116</v>
      </c>
      <c r="D26" s="14"/>
      <c r="E26" s="14"/>
      <c r="F26" s="14"/>
      <c r="G26" s="14"/>
      <c r="H26" s="14"/>
      <c r="I26" s="14"/>
      <c r="J26" s="14"/>
      <c r="K26" s="20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B27" s="15" t="s">
        <v>107</v>
      </c>
      <c r="C27" s="14">
        <f t="shared" si="1"/>
        <v>1117</v>
      </c>
      <c r="D27" s="14"/>
      <c r="E27" s="14"/>
      <c r="F27" s="14"/>
      <c r="G27" s="14"/>
      <c r="H27" s="14"/>
      <c r="I27" s="14"/>
      <c r="J27" s="14"/>
      <c r="K27" s="20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B28" s="15" t="s">
        <v>108</v>
      </c>
      <c r="C28" s="14">
        <f t="shared" si="1"/>
        <v>1118</v>
      </c>
      <c r="D28" s="14"/>
      <c r="E28" s="14"/>
      <c r="F28" s="14"/>
      <c r="G28" s="14"/>
      <c r="H28" s="14"/>
      <c r="I28" s="14"/>
      <c r="J28" s="14"/>
      <c r="K28" s="20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B29" s="15" t="s">
        <v>109</v>
      </c>
      <c r="C29" s="14">
        <f t="shared" si="1"/>
        <v>1122</v>
      </c>
      <c r="D29" s="14"/>
      <c r="E29" s="14"/>
      <c r="F29" s="14"/>
      <c r="G29" s="14"/>
      <c r="H29" s="14"/>
      <c r="I29" s="14"/>
      <c r="J29" s="14"/>
      <c r="K29" s="20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B30" s="15" t="s">
        <v>110</v>
      </c>
      <c r="C30" s="14">
        <f t="shared" si="1"/>
        <v>1137</v>
      </c>
      <c r="D30" s="14"/>
      <c r="E30" s="14"/>
      <c r="F30" s="14"/>
      <c r="G30" s="14"/>
      <c r="H30" s="14"/>
      <c r="I30" s="14"/>
      <c r="J30" s="14"/>
      <c r="K30" s="20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B31" s="15" t="s">
        <v>111</v>
      </c>
      <c r="C31" s="14">
        <f t="shared" si="1"/>
        <v>1148</v>
      </c>
      <c r="D31" s="14"/>
      <c r="E31" s="14"/>
      <c r="F31" s="14"/>
      <c r="G31" s="14"/>
      <c r="H31" s="14"/>
      <c r="I31" s="14"/>
      <c r="J31" s="14"/>
      <c r="K31" s="20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B32" s="15" t="s">
        <v>112</v>
      </c>
      <c r="C32" s="14">
        <f t="shared" si="1"/>
        <v>1168</v>
      </c>
      <c r="D32" s="14"/>
      <c r="E32" s="14"/>
      <c r="F32" s="14"/>
      <c r="G32" s="14"/>
      <c r="H32" s="14"/>
      <c r="I32" s="14"/>
      <c r="J32" s="14"/>
      <c r="K32" s="20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B33" s="15" t="s">
        <v>113</v>
      </c>
      <c r="C33" s="14">
        <f t="shared" si="1"/>
        <v>1169</v>
      </c>
      <c r="D33" s="14"/>
      <c r="E33" s="14"/>
      <c r="F33" s="14"/>
      <c r="G33" s="14"/>
      <c r="H33" s="14"/>
      <c r="I33" s="14"/>
      <c r="J33" s="14"/>
      <c r="K33" s="20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B34" s="15" t="s">
        <v>114</v>
      </c>
      <c r="C34" s="14">
        <f t="shared" si="1"/>
        <v>1171</v>
      </c>
      <c r="D34" s="14"/>
      <c r="E34" s="14"/>
      <c r="F34" s="14"/>
      <c r="G34" s="14"/>
      <c r="H34" s="14"/>
      <c r="I34" s="14"/>
      <c r="J34" s="14"/>
      <c r="K34" s="20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B35" s="15" t="s">
        <v>115</v>
      </c>
      <c r="C35" s="14">
        <f t="shared" si="1"/>
        <v>1176</v>
      </c>
      <c r="D35" s="14"/>
      <c r="E35" s="14"/>
      <c r="F35" s="14"/>
      <c r="G35" s="14"/>
      <c r="H35" s="14"/>
      <c r="I35" s="14"/>
      <c r="J35" s="14"/>
      <c r="K35" s="20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B36" s="15" t="s">
        <v>116</v>
      </c>
      <c r="C36" s="14">
        <f t="shared" si="1"/>
        <v>1182</v>
      </c>
      <c r="D36" s="14"/>
      <c r="E36" s="14"/>
      <c r="F36" s="14"/>
      <c r="G36" s="14"/>
      <c r="H36" s="14"/>
      <c r="I36" s="14"/>
      <c r="J36" s="14"/>
      <c r="K36" s="20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B37" s="15" t="s">
        <v>117</v>
      </c>
      <c r="C37" s="14">
        <f t="shared" si="1"/>
        <v>1245</v>
      </c>
      <c r="D37" s="14"/>
      <c r="E37" s="14"/>
      <c r="F37" s="14"/>
      <c r="G37" s="14"/>
      <c r="H37" s="14"/>
      <c r="I37" s="14"/>
      <c r="J37" s="14"/>
      <c r="K37" s="20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B38" s="15" t="s">
        <v>118</v>
      </c>
      <c r="C38" s="14">
        <f t="shared" si="1"/>
        <v>1246</v>
      </c>
      <c r="D38" s="14"/>
      <c r="E38" s="14"/>
      <c r="F38" s="14"/>
      <c r="G38" s="14"/>
      <c r="H38" s="14"/>
      <c r="I38" s="14"/>
      <c r="J38" s="14"/>
      <c r="K38" s="20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B39" s="15" t="s">
        <v>119</v>
      </c>
      <c r="C39" s="14">
        <f t="shared" si="1"/>
        <v>1250</v>
      </c>
      <c r="D39" s="14"/>
      <c r="F39" s="14"/>
      <c r="G39" s="14"/>
      <c r="H39" s="14"/>
      <c r="I39" s="14"/>
      <c r="J39" s="14"/>
      <c r="K39" s="20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B40" s="15" t="s">
        <v>120</v>
      </c>
      <c r="C40" s="14">
        <f t="shared" si="1"/>
        <v>1252</v>
      </c>
      <c r="D40" s="14"/>
      <c r="E40" s="14"/>
      <c r="F40" s="14"/>
      <c r="G40" s="14"/>
      <c r="H40" s="14"/>
      <c r="I40" s="14"/>
      <c r="J40" s="14"/>
      <c r="K40" s="20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B41" s="15" t="s">
        <v>121</v>
      </c>
      <c r="C41" s="14">
        <f t="shared" si="1"/>
        <v>1262</v>
      </c>
      <c r="D41" s="14"/>
      <c r="E41" s="14"/>
      <c r="F41" s="14"/>
      <c r="G41" s="14"/>
      <c r="H41" s="14"/>
      <c r="I41" s="14"/>
      <c r="J41" s="14"/>
      <c r="K41" s="20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B42" s="15" t="s">
        <v>122</v>
      </c>
      <c r="C42" s="14">
        <f t="shared" si="1"/>
        <v>1278</v>
      </c>
      <c r="D42" s="14"/>
      <c r="E42" s="14"/>
      <c r="F42" s="14"/>
      <c r="G42" s="14"/>
      <c r="H42" s="14"/>
      <c r="I42" s="14"/>
      <c r="J42" s="14"/>
      <c r="K42" s="20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B43" s="15" t="s">
        <v>123</v>
      </c>
      <c r="C43" s="14">
        <f t="shared" si="1"/>
        <v>1287</v>
      </c>
      <c r="D43" s="14"/>
      <c r="E43" s="14"/>
      <c r="F43" s="14"/>
      <c r="G43" s="14"/>
      <c r="H43" s="14"/>
      <c r="I43" s="14"/>
      <c r="J43" s="14"/>
      <c r="K43" s="20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B44" s="15" t="s">
        <v>124</v>
      </c>
      <c r="C44" s="14">
        <f t="shared" si="1"/>
        <v>1293</v>
      </c>
      <c r="D44" s="14"/>
      <c r="E44" s="14"/>
      <c r="F44" s="14"/>
      <c r="G44" s="14"/>
      <c r="H44" s="14"/>
      <c r="I44" s="14"/>
      <c r="J44" s="14"/>
      <c r="K44" s="20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B45" s="15" t="s">
        <v>125</v>
      </c>
      <c r="C45" s="14">
        <f t="shared" si="1"/>
        <v>1312</v>
      </c>
      <c r="D45" s="14"/>
      <c r="E45" s="14"/>
      <c r="H45" s="14"/>
      <c r="I45" s="14"/>
      <c r="J45" s="14"/>
      <c r="K45" s="2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B46" s="15" t="s">
        <v>126</v>
      </c>
      <c r="C46" s="14">
        <f t="shared" si="1"/>
        <v>1315</v>
      </c>
      <c r="D46" s="14"/>
      <c r="E46" s="14"/>
      <c r="F46" s="14"/>
      <c r="G46" s="14"/>
      <c r="H46" s="14"/>
      <c r="I46" s="14"/>
      <c r="J46" s="14"/>
      <c r="K46" s="20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B47" s="15" t="s">
        <v>127</v>
      </c>
      <c r="C47" s="14">
        <f t="shared" si="1"/>
        <v>1316</v>
      </c>
      <c r="D47" s="3" t="s">
        <v>128</v>
      </c>
      <c r="E47" s="4" t="s">
        <v>25</v>
      </c>
      <c r="F47" s="17" t="s">
        <v>129</v>
      </c>
      <c r="G47" s="18"/>
      <c r="H47" s="17" t="s">
        <v>130</v>
      </c>
      <c r="I47" s="18"/>
      <c r="J47" s="17" t="s">
        <v>131</v>
      </c>
      <c r="K47" s="18"/>
      <c r="L47" s="22" t="s">
        <v>132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B48" s="15" t="s">
        <v>133</v>
      </c>
      <c r="C48" s="14">
        <f t="shared" si="1"/>
        <v>1321</v>
      </c>
      <c r="D48" s="14"/>
      <c r="E48" s="14"/>
      <c r="F48" s="14"/>
      <c r="G48" s="14"/>
      <c r="H48" s="14"/>
      <c r="I48" s="14"/>
      <c r="J48" s="14"/>
      <c r="K48" s="20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B49" s="15" t="s">
        <v>134</v>
      </c>
      <c r="C49" s="14">
        <f t="shared" si="1"/>
        <v>1344</v>
      </c>
      <c r="D49" s="14"/>
      <c r="E49" s="14"/>
      <c r="F49" s="14"/>
      <c r="G49" s="14"/>
      <c r="H49" s="14"/>
      <c r="I49" s="14"/>
      <c r="J49" s="14"/>
      <c r="K49" s="20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B50" s="15" t="s">
        <v>135</v>
      </c>
      <c r="C50" s="14">
        <f t="shared" si="1"/>
        <v>1345</v>
      </c>
      <c r="D50" s="14"/>
      <c r="E50" s="2" t="s">
        <v>136</v>
      </c>
      <c r="F50" s="2" t="s">
        <v>137</v>
      </c>
      <c r="G50" s="14"/>
      <c r="H50" s="2" t="s">
        <v>138</v>
      </c>
      <c r="I50" s="14"/>
      <c r="J50" s="14"/>
      <c r="K50" s="2" t="s">
        <v>139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B51" s="15" t="s">
        <v>140</v>
      </c>
      <c r="C51" s="14">
        <f t="shared" si="1"/>
        <v>1346</v>
      </c>
      <c r="D51" s="14"/>
      <c r="E51" s="14"/>
      <c r="F51" s="14"/>
      <c r="G51" s="14"/>
      <c r="H51" s="14"/>
      <c r="I51" s="14"/>
      <c r="J51" s="14"/>
      <c r="K51" s="20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B52" s="15" t="s">
        <v>141</v>
      </c>
      <c r="C52" s="14">
        <f t="shared" si="1"/>
        <v>1353</v>
      </c>
      <c r="D52" s="14"/>
      <c r="E52" s="14"/>
      <c r="F52" s="14"/>
      <c r="G52" s="14"/>
      <c r="H52" s="14"/>
      <c r="I52" s="14"/>
      <c r="J52" s="14"/>
      <c r="K52" s="20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B53" s="15" t="s">
        <v>142</v>
      </c>
      <c r="C53" s="14">
        <f t="shared" si="1"/>
        <v>1363</v>
      </c>
      <c r="D53" s="2" t="s">
        <v>143</v>
      </c>
      <c r="E53" s="14"/>
      <c r="F53" s="14"/>
      <c r="G53" s="14"/>
      <c r="H53" s="14"/>
      <c r="I53" s="14"/>
      <c r="J53" s="2" t="s">
        <v>144</v>
      </c>
      <c r="K53" s="20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B54" s="15" t="s">
        <v>145</v>
      </c>
      <c r="C54" s="14">
        <f t="shared" si="1"/>
        <v>1372</v>
      </c>
      <c r="D54" s="14"/>
      <c r="E54" s="14"/>
      <c r="F54" s="14"/>
      <c r="G54" s="14"/>
      <c r="H54" s="14"/>
      <c r="I54" s="14"/>
      <c r="J54" s="14"/>
      <c r="K54" s="20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B55" s="15" t="s">
        <v>146</v>
      </c>
      <c r="C55" s="14">
        <f t="shared" si="1"/>
        <v>1375</v>
      </c>
      <c r="D55" s="14"/>
      <c r="E55" s="14"/>
      <c r="F55" s="14"/>
      <c r="G55" s="14"/>
      <c r="H55" s="14"/>
      <c r="I55" s="14"/>
      <c r="J55" s="14"/>
      <c r="K55" s="20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B56" s="15" t="s">
        <v>147</v>
      </c>
      <c r="C56" s="14">
        <f t="shared" si="1"/>
        <v>1377</v>
      </c>
      <c r="D56" s="14"/>
      <c r="E56" s="14"/>
      <c r="F56" s="14"/>
      <c r="G56" s="14"/>
      <c r="H56" s="14"/>
      <c r="I56" s="14"/>
      <c r="J56" s="14"/>
      <c r="K56" s="20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B57" s="15" t="s">
        <v>148</v>
      </c>
      <c r="C57" s="14">
        <f t="shared" si="1"/>
        <v>1383</v>
      </c>
      <c r="D57" s="22"/>
      <c r="E57" s="2" t="s">
        <v>149</v>
      </c>
      <c r="F57" s="2" t="s">
        <v>150</v>
      </c>
      <c r="G57" s="2" t="s">
        <v>151</v>
      </c>
      <c r="H57" s="14"/>
      <c r="I57" s="14"/>
      <c r="J57" s="14"/>
      <c r="K57" s="20"/>
      <c r="L57" s="16" t="s">
        <v>152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B58" s="15" t="s">
        <v>153</v>
      </c>
      <c r="C58" s="14">
        <f t="shared" si="1"/>
        <v>1392</v>
      </c>
      <c r="D58" s="14"/>
      <c r="E58" s="14"/>
      <c r="F58" s="14"/>
      <c r="G58" s="14"/>
      <c r="H58" s="14"/>
      <c r="I58" s="14"/>
      <c r="J58" s="14"/>
      <c r="K58" s="20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B59" s="15" t="s">
        <v>154</v>
      </c>
      <c r="C59" s="14">
        <f t="shared" si="1"/>
        <v>1400</v>
      </c>
      <c r="D59" s="14"/>
      <c r="E59" s="14"/>
      <c r="F59" s="14"/>
      <c r="G59" s="14"/>
      <c r="H59" s="2" t="s">
        <v>155</v>
      </c>
      <c r="I59" s="14"/>
      <c r="J59" s="14"/>
      <c r="K59" s="20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B60" s="15" t="s">
        <v>156</v>
      </c>
      <c r="C60" s="14">
        <f t="shared" si="1"/>
        <v>1401</v>
      </c>
      <c r="D60" s="14"/>
      <c r="E60" s="14"/>
      <c r="F60" s="14"/>
      <c r="G60" s="14"/>
      <c r="H60" s="14"/>
      <c r="I60" s="14"/>
      <c r="J60" s="14"/>
      <c r="K60" s="20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B61" s="15" t="s">
        <v>157</v>
      </c>
      <c r="C61" s="14">
        <f t="shared" si="1"/>
        <v>1402</v>
      </c>
      <c r="D61" s="14"/>
      <c r="E61" s="14"/>
      <c r="F61" s="14"/>
      <c r="G61" s="14"/>
      <c r="H61" s="14"/>
      <c r="I61" s="14"/>
      <c r="J61" s="14"/>
      <c r="K61" s="20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B62" s="15" t="s">
        <v>158</v>
      </c>
      <c r="C62" s="14">
        <f t="shared" si="1"/>
        <v>1403</v>
      </c>
      <c r="D62" s="14"/>
      <c r="E62" s="14"/>
      <c r="F62" s="14"/>
      <c r="G62" s="14"/>
      <c r="H62" s="14"/>
      <c r="I62" s="14"/>
      <c r="J62" s="14"/>
      <c r="K62" s="20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B63" s="15" t="s">
        <v>159</v>
      </c>
      <c r="C63" s="14">
        <f t="shared" si="1"/>
        <v>1407</v>
      </c>
      <c r="D63" s="14"/>
      <c r="E63" s="14"/>
      <c r="F63" s="14"/>
      <c r="G63" s="14"/>
      <c r="H63" s="14"/>
      <c r="I63" s="14"/>
      <c r="J63" s="14"/>
      <c r="K63" s="20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B64" s="15" t="s">
        <v>160</v>
      </c>
      <c r="C64" s="14">
        <f t="shared" si="1"/>
        <v>1409</v>
      </c>
      <c r="D64" s="14"/>
      <c r="E64" s="14"/>
      <c r="F64" s="14"/>
      <c r="G64" s="14"/>
      <c r="H64" s="14"/>
      <c r="I64" s="14"/>
      <c r="J64" s="14"/>
      <c r="K64" s="20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B65" s="15" t="s">
        <v>161</v>
      </c>
      <c r="C65" s="14">
        <f t="shared" si="1"/>
        <v>1412</v>
      </c>
      <c r="D65" s="14"/>
      <c r="E65" s="14"/>
      <c r="F65" s="14"/>
      <c r="G65" s="14"/>
      <c r="H65" s="14"/>
      <c r="I65" s="14"/>
      <c r="J65" s="14"/>
      <c r="K65" s="20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B66" s="15" t="s">
        <v>162</v>
      </c>
      <c r="C66" s="14">
        <f t="shared" si="1"/>
        <v>1415</v>
      </c>
      <c r="D66" s="14"/>
      <c r="E66" s="14"/>
      <c r="F66" s="14"/>
      <c r="G66" s="14"/>
      <c r="H66" s="14"/>
      <c r="I66" s="14"/>
      <c r="J66" s="14"/>
      <c r="K66" s="20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B67" s="15" t="s">
        <v>163</v>
      </c>
      <c r="C67" s="14">
        <f t="shared" si="1"/>
        <v>1416</v>
      </c>
      <c r="D67" s="14"/>
      <c r="E67" s="14"/>
      <c r="F67" s="14"/>
      <c r="G67" s="14"/>
      <c r="H67" s="14"/>
      <c r="I67" s="14"/>
      <c r="J67" s="14"/>
      <c r="K67" s="20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B68" s="15" t="s">
        <v>164</v>
      </c>
      <c r="C68" s="14">
        <f t="shared" si="1"/>
        <v>1422</v>
      </c>
      <c r="D68" s="14"/>
      <c r="E68" s="14"/>
      <c r="F68" s="14"/>
      <c r="G68" s="14"/>
      <c r="H68" s="14"/>
      <c r="I68" s="14"/>
      <c r="J68" s="14"/>
      <c r="K68" s="20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B69" s="15" t="s">
        <v>165</v>
      </c>
      <c r="C69" s="14">
        <f t="shared" si="1"/>
        <v>1423</v>
      </c>
      <c r="D69" s="14"/>
      <c r="E69" s="14"/>
      <c r="F69" s="14"/>
      <c r="G69" s="14"/>
      <c r="H69" s="14"/>
      <c r="I69" s="14"/>
      <c r="J69" s="14"/>
      <c r="K69" s="20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B70" s="15" t="s">
        <v>166</v>
      </c>
      <c r="C70" s="14">
        <f t="shared" si="1"/>
        <v>1424</v>
      </c>
      <c r="D70" s="14"/>
      <c r="E70" s="14"/>
      <c r="F70" s="14"/>
      <c r="G70" s="14"/>
      <c r="H70" s="14"/>
      <c r="I70" s="14"/>
      <c r="J70" s="14"/>
      <c r="K70" s="20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B71" s="15" t="s">
        <v>167</v>
      </c>
      <c r="C71" s="14">
        <f t="shared" si="1"/>
        <v>1426</v>
      </c>
      <c r="D71" s="14"/>
      <c r="E71" s="14"/>
      <c r="F71" s="14"/>
      <c r="G71" s="14"/>
      <c r="H71" s="14"/>
      <c r="I71" s="14"/>
      <c r="J71" s="14"/>
      <c r="K71" s="20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B72" s="15" t="s">
        <v>168</v>
      </c>
      <c r="C72" s="14">
        <f t="shared" si="1"/>
        <v>1427</v>
      </c>
      <c r="D72" s="14"/>
      <c r="E72" s="14"/>
      <c r="F72" s="14"/>
      <c r="G72" s="14"/>
      <c r="H72" s="14"/>
      <c r="I72" s="14"/>
      <c r="J72" s="14"/>
      <c r="K72" s="20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B73" s="15" t="s">
        <v>169</v>
      </c>
      <c r="C73" s="14">
        <f t="shared" si="1"/>
        <v>1428</v>
      </c>
      <c r="D73" s="14"/>
      <c r="E73" s="14"/>
      <c r="F73" s="14"/>
      <c r="G73" s="14"/>
      <c r="H73" s="14"/>
      <c r="I73" s="14"/>
      <c r="J73" s="14"/>
      <c r="K73" s="20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B74" s="15" t="s">
        <v>170</v>
      </c>
      <c r="C74" s="14">
        <f t="shared" si="1"/>
        <v>1429</v>
      </c>
      <c r="D74" s="14"/>
      <c r="E74" s="14"/>
      <c r="F74" s="14"/>
      <c r="G74" s="14"/>
      <c r="H74" s="14"/>
      <c r="I74" s="14"/>
      <c r="J74" s="14"/>
      <c r="K74" s="20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B75" s="15" t="s">
        <v>171</v>
      </c>
      <c r="C75" s="14">
        <f t="shared" si="1"/>
        <v>1430</v>
      </c>
      <c r="D75" s="14"/>
      <c r="E75" s="14"/>
      <c r="F75" s="14"/>
      <c r="G75" s="14"/>
      <c r="H75" s="14"/>
      <c r="I75" s="14"/>
      <c r="J75" s="14"/>
      <c r="K75" s="20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B76" s="15" t="s">
        <v>172</v>
      </c>
      <c r="C76" s="14">
        <f t="shared" si="1"/>
        <v>1431</v>
      </c>
      <c r="D76" s="14"/>
      <c r="E76" s="14"/>
      <c r="F76" s="14"/>
      <c r="G76" s="14"/>
      <c r="H76" s="14"/>
      <c r="I76" s="14"/>
      <c r="J76" s="14"/>
      <c r="K76" s="20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B77" s="15" t="s">
        <v>173</v>
      </c>
      <c r="C77" s="14">
        <f t="shared" si="1"/>
        <v>1432</v>
      </c>
      <c r="D77" s="14"/>
      <c r="E77" s="14"/>
      <c r="F77" s="14"/>
      <c r="G77" s="14"/>
      <c r="H77" s="14"/>
      <c r="I77" s="14"/>
      <c r="J77" s="14"/>
      <c r="K77" s="20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B78" s="15" t="s">
        <v>174</v>
      </c>
      <c r="C78" s="14">
        <f t="shared" si="1"/>
        <v>1433</v>
      </c>
      <c r="D78" s="14"/>
      <c r="E78" s="14"/>
      <c r="F78" s="14"/>
      <c r="G78" s="14"/>
      <c r="H78" s="14"/>
      <c r="I78" s="14"/>
      <c r="J78" s="14"/>
      <c r="K78" s="20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B79" s="15" t="s">
        <v>175</v>
      </c>
      <c r="C79" s="14">
        <f t="shared" si="1"/>
        <v>1436</v>
      </c>
      <c r="D79" s="14"/>
      <c r="E79" s="14"/>
      <c r="F79" s="14"/>
      <c r="G79" s="14"/>
      <c r="H79" s="14"/>
      <c r="I79" s="14"/>
      <c r="J79" s="14"/>
      <c r="K79" s="20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B80" s="15" t="s">
        <v>176</v>
      </c>
      <c r="C80" s="14">
        <f t="shared" si="1"/>
        <v>1438</v>
      </c>
      <c r="D80" s="14"/>
      <c r="E80" s="14"/>
      <c r="F80" s="14"/>
      <c r="G80" s="14"/>
      <c r="H80" s="14"/>
      <c r="I80" s="14"/>
      <c r="J80" s="14"/>
      <c r="K80" s="20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B81" s="15" t="s">
        <v>177</v>
      </c>
      <c r="C81" s="14">
        <f t="shared" si="1"/>
        <v>1440</v>
      </c>
      <c r="D81" s="14"/>
      <c r="E81" s="14"/>
      <c r="F81" s="14"/>
      <c r="G81" s="14"/>
      <c r="H81" s="14"/>
      <c r="I81" s="14"/>
      <c r="J81" s="14"/>
      <c r="K81" s="20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B82" s="15" t="s">
        <v>178</v>
      </c>
      <c r="C82" s="14">
        <f t="shared" si="1"/>
        <v>1443</v>
      </c>
      <c r="D82" s="14"/>
      <c r="E82" s="14"/>
      <c r="F82" s="14"/>
      <c r="G82" s="14"/>
      <c r="H82" s="14"/>
      <c r="I82" s="14"/>
      <c r="J82" s="14"/>
      <c r="K82" s="20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B83" s="15" t="s">
        <v>179</v>
      </c>
      <c r="C83" s="14">
        <f t="shared" si="1"/>
        <v>1459</v>
      </c>
      <c r="D83" s="14"/>
      <c r="E83" s="14"/>
      <c r="F83" s="14"/>
      <c r="G83" s="14"/>
      <c r="H83" s="14"/>
      <c r="I83" s="14"/>
      <c r="J83" s="14"/>
      <c r="K83" s="20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B84" s="15" t="s">
        <v>180</v>
      </c>
      <c r="C84" s="14">
        <f t="shared" si="1"/>
        <v>1482</v>
      </c>
      <c r="D84" s="14"/>
      <c r="E84" s="14"/>
      <c r="F84" s="14"/>
      <c r="G84" s="14"/>
      <c r="H84" s="14"/>
      <c r="I84" s="14"/>
      <c r="J84" s="14"/>
      <c r="K84" s="20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B85" s="15" t="s">
        <v>181</v>
      </c>
      <c r="C85" s="14">
        <f t="shared" si="1"/>
        <v>1483</v>
      </c>
      <c r="D85" s="14"/>
      <c r="E85" s="14"/>
      <c r="F85" s="14"/>
      <c r="G85" s="14"/>
      <c r="H85" s="14"/>
      <c r="I85" s="14"/>
      <c r="J85" s="14"/>
      <c r="K85" s="20"/>
      <c r="L85" s="22" t="s">
        <v>105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B86" s="15" t="s">
        <v>182</v>
      </c>
      <c r="C86" s="14">
        <f t="shared" si="1"/>
        <v>1484</v>
      </c>
      <c r="D86" s="14"/>
      <c r="E86" s="14"/>
      <c r="F86" s="14"/>
      <c r="G86" s="14"/>
      <c r="H86" s="14"/>
      <c r="I86" s="14"/>
      <c r="J86" s="14"/>
      <c r="K86" s="20"/>
      <c r="L86" s="22" t="s">
        <v>105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B87" s="15" t="s">
        <v>183</v>
      </c>
      <c r="C87" s="14">
        <f t="shared" si="1"/>
        <v>1488</v>
      </c>
      <c r="D87" s="14"/>
      <c r="E87" s="14"/>
      <c r="F87" s="14"/>
      <c r="G87" s="14"/>
      <c r="H87" s="14"/>
      <c r="I87" s="14"/>
      <c r="J87" s="14"/>
      <c r="K87" s="20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B88" s="15" t="s">
        <v>184</v>
      </c>
      <c r="C88" s="14">
        <f t="shared" si="1"/>
        <v>1491</v>
      </c>
      <c r="D88" s="14"/>
      <c r="E88" s="14"/>
      <c r="F88" s="14"/>
      <c r="G88" s="14"/>
      <c r="H88" s="14"/>
      <c r="I88" s="14"/>
      <c r="J88" s="14"/>
      <c r="K88" s="20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B89" s="25" t="s">
        <v>185</v>
      </c>
      <c r="C89" s="14">
        <f t="shared" si="1"/>
        <v>1493</v>
      </c>
      <c r="D89" s="14"/>
      <c r="E89" s="14"/>
      <c r="F89" s="14"/>
      <c r="G89" s="14"/>
      <c r="H89" s="14"/>
      <c r="I89" s="14"/>
      <c r="J89" s="14"/>
      <c r="K89" s="20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B90" s="25" t="s">
        <v>186</v>
      </c>
      <c r="C90" s="14">
        <f t="shared" si="1"/>
        <v>1494</v>
      </c>
      <c r="D90" s="14"/>
      <c r="E90" s="14"/>
      <c r="F90" s="14"/>
      <c r="G90" s="14"/>
      <c r="H90" s="14"/>
      <c r="I90" s="14"/>
      <c r="J90" s="14"/>
      <c r="K90" s="20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B91" s="15" t="s">
        <v>187</v>
      </c>
      <c r="C91" s="14">
        <f t="shared" si="1"/>
        <v>1495</v>
      </c>
      <c r="D91" s="14"/>
      <c r="E91" s="14"/>
      <c r="F91" s="14"/>
      <c r="G91" s="14"/>
      <c r="H91" s="14"/>
      <c r="I91" s="14"/>
      <c r="J91" s="14"/>
      <c r="K91" s="20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B92" s="15" t="s">
        <v>188</v>
      </c>
      <c r="C92" s="14">
        <f t="shared" si="1"/>
        <v>1496</v>
      </c>
      <c r="D92" s="14"/>
      <c r="E92" s="14"/>
      <c r="F92" s="14"/>
      <c r="G92" s="14"/>
      <c r="H92" s="14"/>
      <c r="I92" s="14"/>
      <c r="J92" s="14"/>
      <c r="K92" s="20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B93" s="15" t="s">
        <v>189</v>
      </c>
      <c r="C93" s="14">
        <f t="shared" si="1"/>
        <v>1497</v>
      </c>
      <c r="D93" s="14"/>
      <c r="E93" s="14"/>
      <c r="F93" s="14"/>
      <c r="G93" s="14"/>
      <c r="H93" s="14"/>
      <c r="I93" s="14"/>
      <c r="J93" s="14"/>
      <c r="K93" s="20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B94" s="15" t="s">
        <v>190</v>
      </c>
      <c r="C94" s="14">
        <f t="shared" si="1"/>
        <v>1500</v>
      </c>
      <c r="D94" s="14"/>
      <c r="E94" s="14"/>
      <c r="F94" s="14"/>
      <c r="G94" s="14"/>
      <c r="H94" s="14"/>
      <c r="I94" s="14"/>
      <c r="J94" s="14"/>
      <c r="K94" s="20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B95" s="15" t="s">
        <v>191</v>
      </c>
      <c r="C95" s="14">
        <f t="shared" si="1"/>
        <v>1502</v>
      </c>
      <c r="D95" s="14"/>
      <c r="E95" s="14"/>
      <c r="F95" s="14"/>
      <c r="G95" s="14"/>
      <c r="H95" s="14"/>
      <c r="I95" s="14"/>
      <c r="J95" s="14"/>
      <c r="K95" s="20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B96" s="15" t="s">
        <v>192</v>
      </c>
      <c r="C96" s="14">
        <f t="shared" si="1"/>
        <v>1503</v>
      </c>
      <c r="D96" s="14"/>
      <c r="E96" s="14"/>
      <c r="F96" s="14"/>
      <c r="G96" s="14"/>
      <c r="H96" s="14"/>
      <c r="I96" s="14"/>
      <c r="J96" s="14"/>
      <c r="K96" s="20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B97" s="15" t="s">
        <v>193</v>
      </c>
      <c r="C97" s="14">
        <f t="shared" si="1"/>
        <v>1507</v>
      </c>
      <c r="D97" s="4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22" t="s">
        <v>194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B98" s="15" t="s">
        <v>195</v>
      </c>
      <c r="C98" s="14">
        <f t="shared" si="1"/>
        <v>1509</v>
      </c>
      <c r="D98" s="14"/>
      <c r="E98" s="14"/>
      <c r="F98" s="14"/>
      <c r="G98" s="14"/>
      <c r="H98" s="14"/>
      <c r="I98" s="14"/>
      <c r="J98" s="14"/>
      <c r="K98" s="20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B99" s="15" t="s">
        <v>196</v>
      </c>
      <c r="C99" s="14">
        <f t="shared" si="1"/>
        <v>1510</v>
      </c>
      <c r="D99" s="14"/>
      <c r="E99" s="14"/>
      <c r="F99" s="14"/>
      <c r="G99" s="14"/>
      <c r="H99" s="14"/>
      <c r="I99" s="14"/>
      <c r="J99" s="14"/>
      <c r="K99" s="20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B100" s="15" t="s">
        <v>197</v>
      </c>
      <c r="C100" s="14">
        <f t="shared" si="1"/>
        <v>1512</v>
      </c>
      <c r="D100" s="14"/>
      <c r="E100" s="14"/>
      <c r="F100" s="14"/>
      <c r="G100" s="14"/>
      <c r="H100" s="14"/>
      <c r="I100" s="14"/>
      <c r="J100" s="14"/>
      <c r="K100" s="20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B101" s="15" t="s">
        <v>198</v>
      </c>
      <c r="C101" s="14">
        <f t="shared" si="1"/>
        <v>1513</v>
      </c>
      <c r="D101" s="14"/>
      <c r="E101" s="14"/>
      <c r="F101" s="14"/>
      <c r="G101" s="14"/>
      <c r="H101" s="14"/>
      <c r="I101" s="14"/>
      <c r="J101" s="14"/>
      <c r="K101" s="20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B102" s="15" t="s">
        <v>199</v>
      </c>
      <c r="C102" s="14">
        <f t="shared" si="1"/>
        <v>1516</v>
      </c>
      <c r="D102" s="2" t="s">
        <v>200</v>
      </c>
      <c r="E102" s="14"/>
      <c r="F102" s="14"/>
      <c r="G102" s="14"/>
      <c r="H102" s="14"/>
      <c r="I102" s="14"/>
      <c r="J102" s="14"/>
      <c r="K102" s="20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B103" s="15" t="s">
        <v>201</v>
      </c>
      <c r="C103" s="14">
        <f t="shared" si="1"/>
        <v>1525</v>
      </c>
      <c r="D103" s="14"/>
      <c r="E103" s="14"/>
      <c r="F103" s="14"/>
      <c r="G103" s="14"/>
      <c r="H103" s="14"/>
      <c r="I103" s="14"/>
      <c r="J103" s="14"/>
      <c r="K103" s="20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B104" s="15" t="s">
        <v>202</v>
      </c>
      <c r="C104" s="14">
        <f t="shared" si="1"/>
        <v>1526</v>
      </c>
      <c r="D104" s="14"/>
      <c r="E104" s="14"/>
      <c r="F104" s="14"/>
      <c r="G104" s="14"/>
      <c r="H104" s="14"/>
      <c r="I104" s="14"/>
      <c r="J104" s="14"/>
      <c r="K104" s="20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B105" s="15" t="s">
        <v>203</v>
      </c>
      <c r="C105" s="14">
        <f t="shared" si="1"/>
        <v>1527</v>
      </c>
      <c r="D105" s="14"/>
      <c r="E105" s="14"/>
      <c r="F105" s="14"/>
      <c r="G105" s="14"/>
      <c r="H105" s="14"/>
      <c r="I105" s="14"/>
      <c r="J105" s="14"/>
      <c r="K105" s="20"/>
      <c r="L105" s="22" t="s">
        <v>105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B106" s="15" t="s">
        <v>204</v>
      </c>
      <c r="C106" s="14">
        <f t="shared" si="1"/>
        <v>1528</v>
      </c>
      <c r="D106" s="14"/>
      <c r="E106" s="14"/>
      <c r="F106" s="14"/>
      <c r="G106" s="14"/>
      <c r="H106" s="14"/>
      <c r="I106" s="14"/>
      <c r="J106" s="14"/>
      <c r="K106" s="20"/>
      <c r="L106" s="22" t="s">
        <v>105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B107" s="15" t="s">
        <v>205</v>
      </c>
      <c r="C107" s="14">
        <f t="shared" si="1"/>
        <v>1529</v>
      </c>
      <c r="D107" s="14"/>
      <c r="E107" s="14"/>
      <c r="F107" s="14"/>
      <c r="G107" s="14"/>
      <c r="H107" s="14"/>
      <c r="I107" s="14"/>
      <c r="J107" s="14"/>
      <c r="K107" s="20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B108" s="15" t="s">
        <v>206</v>
      </c>
      <c r="C108" s="14">
        <f t="shared" si="1"/>
        <v>1530</v>
      </c>
      <c r="D108" s="14"/>
      <c r="E108" s="14"/>
      <c r="F108" s="14"/>
      <c r="G108" s="14"/>
      <c r="H108" s="14"/>
      <c r="I108" s="14"/>
      <c r="J108" s="14"/>
      <c r="K108" s="20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</sheetData>
  <mergeCells count="18">
    <mergeCell ref="E11:F11"/>
    <mergeCell ref="G11:H11"/>
    <mergeCell ref="E12:F12"/>
    <mergeCell ref="H12:I12"/>
    <mergeCell ref="I13:J13"/>
    <mergeCell ref="D14:E14"/>
    <mergeCell ref="F14:G14"/>
    <mergeCell ref="F18:G18"/>
    <mergeCell ref="F47:G47"/>
    <mergeCell ref="H47:I47"/>
    <mergeCell ref="J47:K47"/>
    <mergeCell ref="E15:F15"/>
    <mergeCell ref="G15:H15"/>
    <mergeCell ref="D16:K16"/>
    <mergeCell ref="H18:I18"/>
    <mergeCell ref="D19:F19"/>
    <mergeCell ref="D20:K20"/>
    <mergeCell ref="D25:E25"/>
  </mergeCells>
  <drawing r:id="rId1"/>
</worksheet>
</file>